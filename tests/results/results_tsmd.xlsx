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zcschae/workspace/scampi_paper/tests/results/"/>
    </mc:Choice>
  </mc:AlternateContent>
  <xr:revisionPtr revIDLastSave="0" documentId="13_ncr:1_{B1F77A43-CA44-0D4F-8C71-33D297E403B1}" xr6:coauthVersionLast="47" xr6:coauthVersionMax="47" xr10:uidLastSave="{00000000-0000-0000-0000-000000000000}"/>
  <bookViews>
    <workbookView xWindow="17940" yWindow="3340" windowWidth="22360" windowHeight="21460" xr2:uid="{E798825D-D367-6841-9413-660E20E17D0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H24" i="1"/>
  <c r="O25" i="1"/>
  <c r="B25" i="1"/>
  <c r="E25" i="1"/>
  <c r="I25" i="1"/>
  <c r="L25" i="1"/>
  <c r="M25" i="1"/>
  <c r="O24" i="1"/>
  <c r="C24" i="1"/>
  <c r="D24" i="1"/>
  <c r="E24" i="1"/>
  <c r="F24" i="1"/>
  <c r="G24" i="1"/>
  <c r="I24" i="1"/>
  <c r="J24" i="1"/>
  <c r="K24" i="1"/>
  <c r="L24" i="1"/>
  <c r="M24" i="1"/>
  <c r="N24" i="1"/>
  <c r="B24" i="1"/>
</calcChain>
</file>

<file path=xl/sharedStrings.xml><?xml version="1.0" encoding="utf-8"?>
<sst xmlns="http://schemas.openxmlformats.org/spreadsheetml/2006/main" count="168" uniqueCount="114">
  <si>
    <t>dataset</t>
  </si>
  <si>
    <t>STOMP</t>
  </si>
  <si>
    <t>PanMP</t>
  </si>
  <si>
    <t>LoCoMotif</t>
  </si>
  <si>
    <t>LatentMotif</t>
  </si>
  <si>
    <t>MDL-Clust</t>
  </si>
  <si>
    <t>PEPA</t>
  </si>
  <si>
    <t>VALMOD</t>
  </si>
  <si>
    <t>SetFinder</t>
  </si>
  <si>
    <t>A-PEPA</t>
  </si>
  <si>
    <t>GrammarViz</t>
  </si>
  <si>
    <t>arm-coda</t>
  </si>
  <si>
    <t>0.25 (0.15)</t>
  </si>
  <si>
    <t>0.22 (0.10)</t>
  </si>
  <si>
    <t>0.17 (0.17)</t>
  </si>
  <si>
    <t>0.27 (0.14)</t>
  </si>
  <si>
    <t>0.66 (0.25)</t>
  </si>
  <si>
    <t>0.03 (0.07)</t>
  </si>
  <si>
    <t>0.29 (0.14)</t>
  </si>
  <si>
    <t>0.29 (0.15)</t>
  </si>
  <si>
    <t>0.20 (0.05)</t>
  </si>
  <si>
    <t>0.29 (0.17)</t>
  </si>
  <si>
    <t>0.01 (0.02)</t>
  </si>
  <si>
    <t>mitdb</t>
  </si>
  <si>
    <t>0.50 (0.20)</t>
  </si>
  <si>
    <t>0.14 (0.22)</t>
  </si>
  <si>
    <t>0.12 (0.18)</t>
  </si>
  <si>
    <t>0.29 (0.24)</t>
  </si>
  <si>
    <t>0.33 (0.15)</t>
  </si>
  <si>
    <t>0.40 (0.37)</t>
  </si>
  <si>
    <t>0.41 (0.30)</t>
  </si>
  <si>
    <t>0.17 (0.23)</t>
  </si>
  <si>
    <t>0.55 (0.17)</t>
  </si>
  <si>
    <t>0.51 (0.19)</t>
  </si>
  <si>
    <t>0.00 (0.00)</t>
  </si>
  <si>
    <t>mitdb1</t>
  </si>
  <si>
    <t>0.63 (0.19)</t>
  </si>
  <si>
    <t>0.69 (0.26)</t>
  </si>
  <si>
    <t>0.14 (0.14)</t>
  </si>
  <si>
    <t>0.18 (0.07)</t>
  </si>
  <si>
    <t>0.44 (0.37)</t>
  </si>
  <si>
    <t>0.46 (0.34)</t>
  </si>
  <si>
    <t>0.77 (0.10)</t>
  </si>
  <si>
    <t>0.36 (0.20)</t>
  </si>
  <si>
    <t>ptt-ppg</t>
  </si>
  <si>
    <t>0.49 (0.18)</t>
  </si>
  <si>
    <t>0.53 (0.23)</t>
  </si>
  <si>
    <t>0.38 (0.16)</t>
  </si>
  <si>
    <t>0.27 (0.17)</t>
  </si>
  <si>
    <t>0.61 (0.26)</t>
  </si>
  <si>
    <t>0.68 (0.12)</t>
  </si>
  <si>
    <t>0.54 (0.23)</t>
  </si>
  <si>
    <t>0.69 (0.05)</t>
  </si>
  <si>
    <t>0.43 (0.16)</t>
  </si>
  <si>
    <t>0.00 (0.01)</t>
  </si>
  <si>
    <t>JIGSAWMaster</t>
  </si>
  <si>
    <t>0.26 (0.10)</t>
  </si>
  <si>
    <t>0.10 (0.12)</t>
  </si>
  <si>
    <t>0.33 (0.10)</t>
  </si>
  <si>
    <t>0.26 (0.12)</t>
  </si>
  <si>
    <t>0.23 (0.08)</t>
  </si>
  <si>
    <t>0.13 (0.08)</t>
  </si>
  <si>
    <t>0.18 (0.09)</t>
  </si>
  <si>
    <t>0.17 (0.09)</t>
  </si>
  <si>
    <t>0.23 (0.04)</t>
  </si>
  <si>
    <t>0.20 (0.09)</t>
  </si>
  <si>
    <t>0.10 (0.05)</t>
  </si>
  <si>
    <t>JIGSAWSlave</t>
  </si>
  <si>
    <t>0.25 (0.12)</t>
  </si>
  <si>
    <t>0.05 (0.07)</t>
  </si>
  <si>
    <t>0.33 (0.12)</t>
  </si>
  <si>
    <t>0.24 (0.10)</t>
  </si>
  <si>
    <t>0.23 (0.06)</t>
  </si>
  <si>
    <t>0.15 (0.10)</t>
  </si>
  <si>
    <t>0.17 (0.08)</t>
  </si>
  <si>
    <t>0.20 (0.10)</t>
  </si>
  <si>
    <t>0.22 (0.05)</t>
  </si>
  <si>
    <t>0.18 (0.08)</t>
  </si>
  <si>
    <t>0.10 (0.06)</t>
  </si>
  <si>
    <t>REFIT</t>
  </si>
  <si>
    <t>0.00 (0.03)</t>
  </si>
  <si>
    <t>-</t>
  </si>
  <si>
    <t>0.03 (0.08)</t>
  </si>
  <si>
    <t>0.14 (0.12)</t>
  </si>
  <si>
    <t>0.16 (0.15)</t>
  </si>
  <si>
    <t>SIGN</t>
  </si>
  <si>
    <t>0.06 (0.04)</t>
  </si>
  <si>
    <t>0.14 (0.09)</t>
  </si>
  <si>
    <t>0.17 (0.03)</t>
  </si>
  <si>
    <t>0.20 (0.06)</t>
  </si>
  <si>
    <t>0.10 (0.07)</t>
  </si>
  <si>
    <t>k-Motiflets</t>
  </si>
  <si>
    <t>0.3314 ± 0.0768</t>
  </si>
  <si>
    <t>0.4681 ± 0.1549</t>
  </si>
  <si>
    <t>0.3960 ± 0.1148</t>
  </si>
  <si>
    <t>0.4355 ± 0.0943</t>
  </si>
  <si>
    <t>0.3462 ± 0.0553</t>
  </si>
  <si>
    <t>0.3415 ± 0.0659</t>
  </si>
  <si>
    <t>0.4761 ± 0.1358</t>
  </si>
  <si>
    <t>0.7257 ± 0.1112</t>
  </si>
  <si>
    <t>0.6079 ± 0.1033</t>
  </si>
  <si>
    <t>0.3442 ± 0.0589</t>
  </si>
  <si>
    <t>0.3348 ± 0.0669</t>
  </si>
  <si>
    <t>0.2013 ± 0.0788</t>
  </si>
  <si>
    <t>SCAMPI 
+min+max</t>
  </si>
  <si>
    <t>SCAMPI
+slack</t>
  </si>
  <si>
    <t>0.1524 ± 0.0385</t>
  </si>
  <si>
    <t>k-Motiflets2</t>
  </si>
  <si>
    <t>0.0728 ± 0.0386</t>
  </si>
  <si>
    <t>0.4628 ± 0.1524</t>
  </si>
  <si>
    <t>0.1480 ± 0.0778</t>
  </si>
  <si>
    <t>0.1134 ± 0.0435</t>
  </si>
  <si>
    <t>0.0731 ± 0.0137</t>
  </si>
  <si>
    <t>0.1605 ± 0.0882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</si>
</sst>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/>
    <xf numFmtId="164" fontId="0" fillId="0" borderId="0" xfId="0" applyNumberFormat="1"/>
    <xf numFmtId="164" fontId="1" fillId="0" borderId="0" xfId="0" applyNumberFormat="1" applyFont="1"/>
    <xf numFmtId="164" fontId="2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2" fillId="0" borderId="0" xfId="0" applyNumberFormat="1" applyFont="1"/>
    <xf numFmtId="164" fontId="3" fillId="0" borderId="0" xfId="0" applyNumberFormat="1" applyFont="1"/>
    <xf numFmtId="0" fontId="1" fillId="0" borderId="0" xfId="0" applyFont="1" applyAlignment="1">
      <alignment horizont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6CCE7-C1FA-7D45-871C-9ABD9EF491FF}">
  <dimension ref="A1:P25"/>
  <sheetViews>
    <sheetView tabSelected="1" zoomScale="88" workbookViewId="0">
      <selection activeCell="H25" sqref="H25"/>
    </sheetView>
  </sheetViews>
  <sheetFormatPr baseColWidth="10" defaultRowHeight="16" x14ac:dyDescent="0.2"/>
  <cols>
    <col min="2" max="4" width="9.83203125" bestFit="1" customWidth="1"/>
    <col min="6" max="6" width="10.1640625" bestFit="1" customWidth="1"/>
    <col min="7" max="7" width="10.33203125" bestFit="1" customWidth="1"/>
    <col min="8" max="8" width="11.33203125" bestFit="1" customWidth="1"/>
    <col min="9" max="12" width="9.83203125" bestFit="1" customWidth="1"/>
    <col min="13" max="13" width="11.6640625" bestFit="1" customWidth="1"/>
    <col min="14" max="16" width="14.1640625" bestFit="1" customWidth="1"/>
  </cols>
  <sheetData>
    <row r="1" spans="1:16" s="3" customFormat="1" ht="34" x14ac:dyDescent="0.2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91</v>
      </c>
      <c r="H1" s="2" t="s">
        <v>107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13" t="s">
        <v>104</v>
      </c>
      <c r="O1" s="13" t="s">
        <v>105</v>
      </c>
      <c r="P1" s="13"/>
    </row>
    <row r="2" spans="1:16" x14ac:dyDescent="0.2">
      <c r="A2" s="1" t="s">
        <v>11</v>
      </c>
      <c r="B2" t="s">
        <v>12</v>
      </c>
      <c r="C2" t="s">
        <v>13</v>
      </c>
      <c r="D2" t="s">
        <v>14</v>
      </c>
      <c r="E2" t="s">
        <v>15</v>
      </c>
      <c r="F2" s="1" t="s">
        <v>16</v>
      </c>
      <c r="G2" t="s">
        <v>17</v>
      </c>
      <c r="H2" t="s">
        <v>108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s="5" t="s">
        <v>92</v>
      </c>
      <c r="O2" t="s">
        <v>92</v>
      </c>
    </row>
    <row r="3" spans="1:16" x14ac:dyDescent="0.2">
      <c r="A3" s="1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 t="s">
        <v>29</v>
      </c>
      <c r="H3" t="s">
        <v>109</v>
      </c>
      <c r="I3" t="s">
        <v>30</v>
      </c>
      <c r="J3" t="s">
        <v>31</v>
      </c>
      <c r="K3" s="1" t="s">
        <v>32</v>
      </c>
      <c r="L3" s="5" t="s">
        <v>33</v>
      </c>
      <c r="M3" t="s">
        <v>34</v>
      </c>
      <c r="N3" t="s">
        <v>93</v>
      </c>
      <c r="O3" t="s">
        <v>98</v>
      </c>
    </row>
    <row r="4" spans="1:16" x14ac:dyDescent="0.2">
      <c r="A4" s="1" t="s">
        <v>35</v>
      </c>
      <c r="B4" t="s">
        <v>36</v>
      </c>
      <c r="C4" t="s">
        <v>37</v>
      </c>
      <c r="D4" t="s">
        <v>18</v>
      </c>
      <c r="E4" t="s">
        <v>38</v>
      </c>
      <c r="F4" t="s">
        <v>39</v>
      </c>
      <c r="G4" t="s">
        <v>40</v>
      </c>
      <c r="H4" t="s">
        <v>99</v>
      </c>
      <c r="I4" t="s">
        <v>41</v>
      </c>
      <c r="J4" t="s">
        <v>16</v>
      </c>
      <c r="K4" s="1" t="s">
        <v>42</v>
      </c>
      <c r="L4" t="s">
        <v>43</v>
      </c>
      <c r="M4" t="s">
        <v>34</v>
      </c>
      <c r="N4" t="s">
        <v>94</v>
      </c>
      <c r="O4" t="s">
        <v>99</v>
      </c>
    </row>
    <row r="5" spans="1:16" x14ac:dyDescent="0.2">
      <c r="A5" s="1" t="s">
        <v>44</v>
      </c>
      <c r="B5" t="s">
        <v>45</v>
      </c>
      <c r="C5" s="5" t="s">
        <v>46</v>
      </c>
      <c r="D5" t="s">
        <v>47</v>
      </c>
      <c r="E5" t="s">
        <v>48</v>
      </c>
      <c r="F5" t="s">
        <v>39</v>
      </c>
      <c r="G5" t="s">
        <v>49</v>
      </c>
      <c r="H5" t="s">
        <v>100</v>
      </c>
      <c r="I5" s="5" t="s">
        <v>50</v>
      </c>
      <c r="J5" t="s">
        <v>51</v>
      </c>
      <c r="K5" s="1" t="s">
        <v>52</v>
      </c>
      <c r="L5" t="s">
        <v>53</v>
      </c>
      <c r="M5" t="s">
        <v>54</v>
      </c>
      <c r="N5" t="s">
        <v>95</v>
      </c>
      <c r="O5" t="s">
        <v>100</v>
      </c>
    </row>
    <row r="6" spans="1:16" x14ac:dyDescent="0.2">
      <c r="A6" s="1" t="s">
        <v>55</v>
      </c>
      <c r="B6" t="s">
        <v>56</v>
      </c>
      <c r="C6" t="s">
        <v>57</v>
      </c>
      <c r="D6" s="1" t="s">
        <v>58</v>
      </c>
      <c r="E6" t="s">
        <v>59</v>
      </c>
      <c r="F6" t="s">
        <v>60</v>
      </c>
      <c r="G6" t="s">
        <v>61</v>
      </c>
      <c r="H6" t="s">
        <v>110</v>
      </c>
      <c r="I6" t="s">
        <v>62</v>
      </c>
      <c r="J6" t="s">
        <v>63</v>
      </c>
      <c r="K6" t="s">
        <v>64</v>
      </c>
      <c r="L6" t="s">
        <v>65</v>
      </c>
      <c r="M6" t="s">
        <v>66</v>
      </c>
      <c r="N6" s="1" t="s">
        <v>96</v>
      </c>
      <c r="O6" t="s">
        <v>101</v>
      </c>
    </row>
    <row r="7" spans="1:16" x14ac:dyDescent="0.2">
      <c r="A7" s="1" t="s">
        <v>67</v>
      </c>
      <c r="B7" t="s">
        <v>68</v>
      </c>
      <c r="C7" t="s">
        <v>69</v>
      </c>
      <c r="D7" s="1" t="s">
        <v>70</v>
      </c>
      <c r="E7" t="s">
        <v>71</v>
      </c>
      <c r="F7" t="s">
        <v>72</v>
      </c>
      <c r="G7" t="s">
        <v>73</v>
      </c>
      <c r="H7" t="s">
        <v>111</v>
      </c>
      <c r="I7" t="s">
        <v>74</v>
      </c>
      <c r="J7" t="s">
        <v>75</v>
      </c>
      <c r="K7" t="s">
        <v>76</v>
      </c>
      <c r="L7" t="s">
        <v>77</v>
      </c>
      <c r="M7" t="s">
        <v>78</v>
      </c>
      <c r="N7" s="1" t="s">
        <v>97</v>
      </c>
      <c r="O7" t="s">
        <v>102</v>
      </c>
    </row>
    <row r="8" spans="1:16" x14ac:dyDescent="0.2">
      <c r="A8" s="1" t="s">
        <v>79</v>
      </c>
      <c r="B8" t="s">
        <v>80</v>
      </c>
      <c r="C8" t="s">
        <v>81</v>
      </c>
      <c r="D8" t="s">
        <v>81</v>
      </c>
      <c r="E8" t="s">
        <v>82</v>
      </c>
      <c r="F8" t="s">
        <v>81</v>
      </c>
      <c r="G8" t="s">
        <v>81</v>
      </c>
      <c r="H8" t="s">
        <v>113</v>
      </c>
      <c r="I8" t="s">
        <v>83</v>
      </c>
      <c r="J8" t="s">
        <v>81</v>
      </c>
      <c r="K8" t="s">
        <v>81</v>
      </c>
      <c r="L8" t="s">
        <v>84</v>
      </c>
      <c r="M8" t="s">
        <v>34</v>
      </c>
      <c r="O8" t="s">
        <v>103</v>
      </c>
    </row>
    <row r="9" spans="1:16" x14ac:dyDescent="0.2">
      <c r="A9" s="1" t="s">
        <v>85</v>
      </c>
      <c r="B9" t="s">
        <v>86</v>
      </c>
      <c r="C9" t="s">
        <v>81</v>
      </c>
      <c r="D9" t="s">
        <v>81</v>
      </c>
      <c r="E9" t="s">
        <v>87</v>
      </c>
      <c r="F9" t="s">
        <v>81</v>
      </c>
      <c r="G9" t="s">
        <v>81</v>
      </c>
      <c r="H9" t="s">
        <v>112</v>
      </c>
      <c r="I9" t="s">
        <v>88</v>
      </c>
      <c r="J9" t="s">
        <v>81</v>
      </c>
      <c r="K9" t="s">
        <v>81</v>
      </c>
      <c r="L9" t="s">
        <v>89</v>
      </c>
      <c r="M9" t="s">
        <v>90</v>
      </c>
      <c r="O9" t="s">
        <v>106</v>
      </c>
    </row>
    <row r="14" spans="1:16" ht="34" x14ac:dyDescent="0.2">
      <c r="A14" s="4" t="s">
        <v>0</v>
      </c>
      <c r="B14" s="2" t="s">
        <v>1</v>
      </c>
      <c r="C14" s="2" t="s">
        <v>2</v>
      </c>
      <c r="D14" s="2" t="s">
        <v>3</v>
      </c>
      <c r="E14" s="2" t="s">
        <v>4</v>
      </c>
      <c r="F14" s="2" t="s">
        <v>5</v>
      </c>
      <c r="G14" s="2" t="s">
        <v>91</v>
      </c>
      <c r="H14" s="2" t="s">
        <v>107</v>
      </c>
      <c r="I14" s="2" t="s">
        <v>6</v>
      </c>
      <c r="J14" s="2" t="s">
        <v>7</v>
      </c>
      <c r="K14" s="2" t="s">
        <v>8</v>
      </c>
      <c r="L14" s="2" t="s">
        <v>9</v>
      </c>
      <c r="M14" s="2" t="s">
        <v>10</v>
      </c>
      <c r="N14" s="13" t="s">
        <v>104</v>
      </c>
      <c r="O14" s="13" t="s">
        <v>105</v>
      </c>
    </row>
    <row r="15" spans="1:16" x14ac:dyDescent="0.2">
      <c r="A15" s="1" t="s">
        <v>11</v>
      </c>
      <c r="B15" s="9">
        <v>0.25</v>
      </c>
      <c r="C15" s="9">
        <v>0.22</v>
      </c>
      <c r="D15" s="9">
        <v>0.17</v>
      </c>
      <c r="E15" s="9">
        <v>0.27</v>
      </c>
      <c r="F15" s="10">
        <v>0.66</v>
      </c>
      <c r="G15" s="9">
        <v>0.03</v>
      </c>
      <c r="H15">
        <v>7.2800000000000004E-2</v>
      </c>
      <c r="I15" s="9">
        <v>0.28999999999999998</v>
      </c>
      <c r="J15" s="9">
        <v>0.28999999999999998</v>
      </c>
      <c r="K15" s="9">
        <v>0.2</v>
      </c>
      <c r="L15" s="9">
        <v>0.28999999999999998</v>
      </c>
      <c r="M15" s="9">
        <v>0.01</v>
      </c>
      <c r="N15" s="8">
        <v>0.33139999999999997</v>
      </c>
      <c r="O15" s="6">
        <v>0.33139999999999997</v>
      </c>
    </row>
    <row r="16" spans="1:16" x14ac:dyDescent="0.2">
      <c r="A16" s="1" t="s">
        <v>23</v>
      </c>
      <c r="B16" s="9">
        <v>0.5</v>
      </c>
      <c r="C16" s="9">
        <v>0.14000000000000001</v>
      </c>
      <c r="D16" s="9">
        <v>0.12</v>
      </c>
      <c r="E16" s="9">
        <v>0.28999999999999998</v>
      </c>
      <c r="F16" s="9">
        <v>0.33</v>
      </c>
      <c r="G16" s="9">
        <v>0.4</v>
      </c>
      <c r="H16">
        <v>0.46279999999999999</v>
      </c>
      <c r="I16" s="9">
        <v>0.41</v>
      </c>
      <c r="J16" s="9">
        <v>0.17</v>
      </c>
      <c r="K16" s="10">
        <v>0.55000000000000004</v>
      </c>
      <c r="L16" s="11">
        <v>0.51</v>
      </c>
      <c r="M16" s="9">
        <v>0</v>
      </c>
      <c r="N16" s="6">
        <v>0.46810000000000002</v>
      </c>
      <c r="O16" s="6">
        <v>0.47610000000000002</v>
      </c>
    </row>
    <row r="17" spans="1:15" x14ac:dyDescent="0.2">
      <c r="A17" s="1" t="s">
        <v>35</v>
      </c>
      <c r="B17" s="9">
        <v>0.63</v>
      </c>
      <c r="C17" s="9">
        <v>0.69</v>
      </c>
      <c r="D17" s="9">
        <v>0.28999999999999998</v>
      </c>
      <c r="E17" s="9">
        <v>0.14000000000000001</v>
      </c>
      <c r="F17" s="9">
        <v>0.18</v>
      </c>
      <c r="G17" s="9">
        <v>0.44</v>
      </c>
      <c r="H17">
        <v>0.72570000000000001</v>
      </c>
      <c r="I17" s="9">
        <v>0.46</v>
      </c>
      <c r="J17" s="9">
        <v>0.66</v>
      </c>
      <c r="K17" s="10">
        <v>0.77</v>
      </c>
      <c r="L17" s="9">
        <v>0.36</v>
      </c>
      <c r="M17" s="9">
        <v>0</v>
      </c>
      <c r="N17" s="6">
        <v>0.39600000000000002</v>
      </c>
      <c r="O17" s="6">
        <v>0.72570000000000001</v>
      </c>
    </row>
    <row r="18" spans="1:15" x14ac:dyDescent="0.2">
      <c r="A18" s="1" t="s">
        <v>44</v>
      </c>
      <c r="B18" s="9">
        <v>0.49</v>
      </c>
      <c r="C18" s="11">
        <v>0.53</v>
      </c>
      <c r="D18" s="9">
        <v>0.38</v>
      </c>
      <c r="E18" s="9">
        <v>0.27</v>
      </c>
      <c r="F18" s="9">
        <v>0.18</v>
      </c>
      <c r="G18" s="9">
        <v>0.61</v>
      </c>
      <c r="H18">
        <v>0.6079</v>
      </c>
      <c r="I18" s="11">
        <v>0.68</v>
      </c>
      <c r="J18" s="9">
        <v>0.54</v>
      </c>
      <c r="K18" s="10">
        <v>0.69</v>
      </c>
      <c r="L18" s="9">
        <v>0.43</v>
      </c>
      <c r="M18" s="9">
        <v>0</v>
      </c>
      <c r="N18" s="6">
        <v>0.4355</v>
      </c>
      <c r="O18" s="6">
        <v>0.6079</v>
      </c>
    </row>
    <row r="19" spans="1:15" x14ac:dyDescent="0.2">
      <c r="A19" s="1" t="s">
        <v>55</v>
      </c>
      <c r="B19" s="9">
        <v>0.26</v>
      </c>
      <c r="C19" s="9">
        <v>0.1</v>
      </c>
      <c r="D19" s="10">
        <v>0.33</v>
      </c>
      <c r="E19" s="9">
        <v>0.26</v>
      </c>
      <c r="F19" s="9">
        <v>0.23</v>
      </c>
      <c r="G19" s="9">
        <v>0.13</v>
      </c>
      <c r="H19">
        <v>0.14799999999999999</v>
      </c>
      <c r="I19" s="9">
        <v>0.18</v>
      </c>
      <c r="J19" s="9">
        <v>0.17</v>
      </c>
      <c r="K19" s="9">
        <v>0.23</v>
      </c>
      <c r="L19" s="9">
        <v>0.2</v>
      </c>
      <c r="M19" s="9">
        <v>0.1</v>
      </c>
      <c r="N19" s="12">
        <v>0.34620000000000001</v>
      </c>
      <c r="O19" s="7">
        <v>0.34420000000000001</v>
      </c>
    </row>
    <row r="20" spans="1:15" x14ac:dyDescent="0.2">
      <c r="A20" s="1" t="s">
        <v>67</v>
      </c>
      <c r="B20" s="9">
        <v>0.25</v>
      </c>
      <c r="C20" s="9">
        <v>0.05</v>
      </c>
      <c r="D20" s="10">
        <v>0.33</v>
      </c>
      <c r="E20" s="9">
        <v>0.24</v>
      </c>
      <c r="F20" s="9">
        <v>0.23</v>
      </c>
      <c r="G20" s="9">
        <v>0.15</v>
      </c>
      <c r="H20">
        <v>0.1134</v>
      </c>
      <c r="I20" s="9">
        <v>0.17</v>
      </c>
      <c r="J20" s="9">
        <v>0.2</v>
      </c>
      <c r="K20" s="9">
        <v>0.22</v>
      </c>
      <c r="L20" s="9">
        <v>0.18</v>
      </c>
      <c r="M20" s="9">
        <v>0.1</v>
      </c>
      <c r="N20" s="12">
        <v>0.34150000000000003</v>
      </c>
      <c r="O20" s="7">
        <v>0.33479999999999999</v>
      </c>
    </row>
    <row r="21" spans="1:15" x14ac:dyDescent="0.2">
      <c r="A21" s="1" t="s">
        <v>79</v>
      </c>
      <c r="B21" s="9">
        <v>0</v>
      </c>
      <c r="C21" s="9" t="s">
        <v>81</v>
      </c>
      <c r="D21" s="9" t="s">
        <v>81</v>
      </c>
      <c r="E21" s="9">
        <v>0.03</v>
      </c>
      <c r="F21" s="9" t="s">
        <v>81</v>
      </c>
      <c r="G21" s="9" t="s">
        <v>81</v>
      </c>
      <c r="H21" s="9">
        <v>0.1605</v>
      </c>
      <c r="I21" s="9">
        <v>0.14000000000000001</v>
      </c>
      <c r="J21" s="9" t="s">
        <v>81</v>
      </c>
      <c r="K21" s="9" t="s">
        <v>81</v>
      </c>
      <c r="L21" s="9">
        <v>0.16</v>
      </c>
      <c r="M21" s="9">
        <v>0</v>
      </c>
      <c r="N21" s="9"/>
      <c r="O21" s="7">
        <v>0.20130000000000001</v>
      </c>
    </row>
    <row r="22" spans="1:15" x14ac:dyDescent="0.2">
      <c r="A22" s="1" t="s">
        <v>85</v>
      </c>
      <c r="B22" s="9">
        <v>0.06</v>
      </c>
      <c r="C22" s="9" t="s">
        <v>81</v>
      </c>
      <c r="D22" s="9" t="s">
        <v>81</v>
      </c>
      <c r="E22" s="9">
        <v>0.14000000000000001</v>
      </c>
      <c r="F22" s="9" t="s">
        <v>81</v>
      </c>
      <c r="G22" s="9" t="s">
        <v>81</v>
      </c>
      <c r="H22" s="9">
        <v>7.3099999999999998E-2</v>
      </c>
      <c r="I22" s="9">
        <v>0.17</v>
      </c>
      <c r="J22" s="9" t="s">
        <v>81</v>
      </c>
      <c r="K22" s="9" t="s">
        <v>81</v>
      </c>
      <c r="L22" s="9">
        <v>0.2</v>
      </c>
      <c r="M22" s="9">
        <v>0.1</v>
      </c>
      <c r="N22" s="9"/>
      <c r="O22" s="12">
        <v>0.15240000000000001</v>
      </c>
    </row>
    <row r="24" spans="1:15" x14ac:dyDescent="0.2">
      <c r="B24" s="6">
        <f>AVERAGE(B15:B20)</f>
        <v>0.39666666666666667</v>
      </c>
      <c r="C24" s="6">
        <f t="shared" ref="C24:O25" si="0">AVERAGE(C15:C20)</f>
        <v>0.28833333333333333</v>
      </c>
      <c r="D24" s="6">
        <f t="shared" si="0"/>
        <v>0.27</v>
      </c>
      <c r="E24" s="6">
        <f t="shared" si="0"/>
        <v>0.245</v>
      </c>
      <c r="F24" s="6">
        <f t="shared" si="0"/>
        <v>0.30166666666666664</v>
      </c>
      <c r="G24" s="6">
        <f t="shared" si="0"/>
        <v>0.29333333333333328</v>
      </c>
      <c r="H24" s="6">
        <f t="shared" si="0"/>
        <v>0.35509999999999997</v>
      </c>
      <c r="I24" s="6">
        <f t="shared" si="0"/>
        <v>0.36499999999999999</v>
      </c>
      <c r="J24" s="6">
        <f t="shared" si="0"/>
        <v>0.33833333333333337</v>
      </c>
      <c r="K24" s="6">
        <f t="shared" si="0"/>
        <v>0.44333333333333336</v>
      </c>
      <c r="L24" s="6">
        <f t="shared" si="0"/>
        <v>0.32833333333333331</v>
      </c>
      <c r="M24" s="6">
        <f t="shared" si="0"/>
        <v>3.5000000000000003E-2</v>
      </c>
      <c r="N24" s="6">
        <f t="shared" si="0"/>
        <v>0.38645000000000002</v>
      </c>
      <c r="O24" s="7">
        <f t="shared" si="0"/>
        <v>0.47001666666666658</v>
      </c>
    </row>
    <row r="25" spans="1:15" x14ac:dyDescent="0.2">
      <c r="B25" s="6">
        <f>AVERAGE(B15:B22)</f>
        <v>0.30499999999999999</v>
      </c>
      <c r="E25" s="6">
        <f>AVERAGE(E15:E22)</f>
        <v>0.20500000000000002</v>
      </c>
      <c r="H25" s="6">
        <f>AVERAGE(H15:H22)</f>
        <v>0.29552499999999998</v>
      </c>
      <c r="I25" s="6">
        <f>AVERAGE(I15:I22)</f>
        <v>0.3125</v>
      </c>
      <c r="L25" s="6">
        <f>AVERAGE(L15:L22)</f>
        <v>0.29125000000000001</v>
      </c>
      <c r="M25" s="6">
        <f>AVERAGE(M15:M22)</f>
        <v>3.8750000000000007E-2</v>
      </c>
      <c r="O25" s="7">
        <f>AVERAGE(O15:O22)</f>
        <v>0.39672499999999994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Schäfer</dc:creator>
  <cp:lastModifiedBy>Patrick Schäfer</cp:lastModifiedBy>
  <dcterms:created xsi:type="dcterms:W3CDTF">2026-03-19T17:44:09Z</dcterms:created>
  <dcterms:modified xsi:type="dcterms:W3CDTF">2026-03-23T08:38:08Z</dcterms:modified>
</cp:coreProperties>
</file>